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say_settings" sheetId="1" state="visible" r:id="rId2"/>
    <sheet name="stock_solutions" sheetId="2" state="visible" r:id="rId3"/>
    <sheet name="sample_prepara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<sst xmlns="http://schemas.openxmlformats.org/spreadsheetml/2006/main" count="259" uniqueCount="92">
  <si>
    <t xml:space="preserve">Parameters</t>
  </si>
  <si>
    <t xml:space="preserve">Details</t>
  </si>
  <si>
    <t xml:space="preserve">Date</t>
  </si>
  <si>
    <t xml:space="preserve">Clariostar</t>
  </si>
  <si>
    <t xml:space="preserve">Clariostar 2</t>
  </si>
  <si>
    <t xml:space="preserve">Temperature (C)</t>
  </si>
  <si>
    <t xml:space="preserve">Gain</t>
  </si>
  <si>
    <t xml:space="preserve">Z height (mm)</t>
  </si>
  <si>
    <t xml:space="preserve">Plate Type</t>
  </si>
  <si>
    <t xml:space="preserve">Greiner 96 (655900)</t>
  </si>
  <si>
    <t xml:space="preserve">Well volume (uL)</t>
  </si>
  <si>
    <t xml:space="preserve">Filled in by:</t>
  </si>
  <si>
    <t xml:space="preserve">Ennio (EL)</t>
  </si>
  <si>
    <t xml:space="preserve">Running the Experiment:</t>
  </si>
  <si>
    <t xml:space="preserve">Alex (AWJ)</t>
  </si>
  <si>
    <t xml:space="preserve">Notes </t>
  </si>
  <si>
    <t xml:space="preserve">Stock solutions</t>
  </si>
  <si>
    <t xml:space="preserve">Components_Type</t>
  </si>
  <si>
    <t xml:space="preserve">Components_ID</t>
  </si>
  <si>
    <t xml:space="preserve">Calculation</t>
  </si>
  <si>
    <t xml:space="preserve">Do I need to make more?</t>
  </si>
  <si>
    <t xml:space="preserve">Date of Preparation</t>
  </si>
  <si>
    <t xml:space="preserve">Notes</t>
  </si>
  <si>
    <t xml:space="preserve">Buffer</t>
  </si>
  <si>
    <t xml:space="preserve">Media</t>
  </si>
  <si>
    <t xml:space="preserve">Buffer 1x</t>
  </si>
  <si>
    <t xml:space="preserve">None</t>
  </si>
  <si>
    <t xml:space="preserve">Probe 1</t>
  </si>
  <si>
    <t xml:space="preserve">C2 (uM)</t>
  </si>
  <si>
    <t xml:space="preserve">V2 (uL)</t>
  </si>
  <si>
    <t xml:space="preserve">C1 (uM)</t>
  </si>
  <si>
    <t xml:space="preserve">V1</t>
  </si>
  <si>
    <t xml:space="preserve">-</t>
  </si>
  <si>
    <t xml:space="preserve">Fresh Probe</t>
  </si>
  <si>
    <t xml:space="preserve">NaCl</t>
  </si>
  <si>
    <t xml:space="preserve">Plasma (Mice)</t>
  </si>
  <si>
    <t xml:space="preserve">Protector</t>
  </si>
  <si>
    <t xml:space="preserve">16_05_pr_BHQ3</t>
  </si>
  <si>
    <t xml:space="preserve">TRIS</t>
  </si>
  <si>
    <t xml:space="preserve">Plasma (Humans)</t>
  </si>
  <si>
    <t xml:space="preserve">Substrate</t>
  </si>
  <si>
    <t xml:space="preserve">16_05_S_Alexa</t>
  </si>
  <si>
    <t xml:space="preserve">PolyT – HPLC</t>
  </si>
  <si>
    <t xml:space="preserve">Serum</t>
  </si>
  <si>
    <t xml:space="preserve">1x Buffer</t>
  </si>
  <si>
    <t xml:space="preserve">Blood</t>
  </si>
  <si>
    <t xml:space="preserve">Brain</t>
  </si>
  <si>
    <t xml:space="preserve">Kidney</t>
  </si>
  <si>
    <t xml:space="preserve">Probe 2</t>
  </si>
  <si>
    <t xml:space="preserve">Liver</t>
  </si>
  <si>
    <t xml:space="preserve">Heart</t>
  </si>
  <si>
    <t xml:space="preserve">Spinal fluid</t>
  </si>
  <si>
    <t xml:space="preserve">Spleen</t>
  </si>
  <si>
    <t xml:space="preserve">Soil</t>
  </si>
  <si>
    <t xml:space="preserve">Leaves</t>
  </si>
  <si>
    <t xml:space="preserve">Fuel</t>
  </si>
  <si>
    <t xml:space="preserve">16_05_F</t>
  </si>
  <si>
    <t xml:space="preserve">Input</t>
  </si>
  <si>
    <t xml:space="preserve">16_05_I</t>
  </si>
  <si>
    <t xml:space="preserve">Group</t>
  </si>
  <si>
    <t xml:space="preserve">Sample ID</t>
  </si>
  <si>
    <t xml:space="preserve">Negative</t>
  </si>
  <si>
    <t xml:space="preserve">Positive</t>
  </si>
  <si>
    <t xml:space="preserve">Media % assay</t>
  </si>
  <si>
    <t xml:space="preserve">Buffer %</t>
  </si>
  <si>
    <t xml:space="preserve">Input_conc(pM)</t>
  </si>
  <si>
    <t xml:space="preserve">Probe</t>
  </si>
  <si>
    <t xml:space="preserve">Probe_conc(nM)</t>
  </si>
  <si>
    <t xml:space="preserve">Fuel_conc(nM)</t>
  </si>
  <si>
    <t xml:space="preserve">Signal</t>
  </si>
  <si>
    <t xml:space="preserve">Signal_conc (nM)</t>
  </si>
  <si>
    <t xml:space="preserve">Responses</t>
  </si>
  <si>
    <t xml:space="preserve">Sample X1</t>
  </si>
  <si>
    <t xml:space="preserve">Sample X10</t>
  </si>
  <si>
    <t xml:space="preserve">Sample X17</t>
  </si>
  <si>
    <t xml:space="preserve">Sample X2</t>
  </si>
  <si>
    <t xml:space="preserve">Sample X3</t>
  </si>
  <si>
    <t xml:space="preserve">Sample X4</t>
  </si>
  <si>
    <t xml:space="preserve">Sample X5</t>
  </si>
  <si>
    <t xml:space="preserve"> </t>
  </si>
  <si>
    <t xml:space="preserve">Sample X6</t>
  </si>
  <si>
    <t xml:space="preserve">Sample X7</t>
  </si>
  <si>
    <t xml:space="preserve">Sample X8</t>
  </si>
  <si>
    <t xml:space="preserve">Sample X9</t>
  </si>
  <si>
    <t xml:space="preserve">Sample X11</t>
  </si>
  <si>
    <t xml:space="preserve">Calibration</t>
  </si>
  <si>
    <t xml:space="preserve">Sample X12</t>
  </si>
  <si>
    <t xml:space="preserve">Sample X13</t>
  </si>
  <si>
    <t xml:space="preserve">Sample X14</t>
  </si>
  <si>
    <t xml:space="preserve">Sample X15</t>
  </si>
  <si>
    <t xml:space="preserve">Sample X16</t>
  </si>
  <si>
    <t xml:space="preserve">Sample X18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</si>
</sst>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55A11"/>
        <bgColor rgb="FFE87331"/>
      </patternFill>
    </fill>
    <fill>
      <patternFill patternType="solid">
        <fgColor rgb="FFED7D31"/>
        <bgColor rgb="FFE87331"/>
      </patternFill>
    </fill>
    <fill>
      <patternFill patternType="solid">
        <fgColor rgb="FFF4B183"/>
        <bgColor rgb="FFF1AB83"/>
      </patternFill>
    </fill>
    <fill>
      <patternFill patternType="solid">
        <fgColor rgb="FFF1AB83"/>
        <bgColor rgb="FFF4B183"/>
      </patternFill>
    </fill>
    <fill>
      <patternFill patternType="solid">
        <fgColor rgb="FF82CAEC"/>
        <bgColor rgb="FFC0C0C0"/>
      </patternFill>
    </fill>
    <fill>
      <patternFill patternType="solid">
        <fgColor rgb="FF8ED973"/>
        <bgColor rgb="FFC0C0C0"/>
      </patternFill>
    </fill>
    <fill>
      <patternFill patternType="solid">
        <fgColor rgb="FFE87331"/>
        <bgColor rgb="FFED7D3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D7D3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2CAEC"/>
      <rgbColor rgb="FFF1AB83"/>
      <rgbColor rgb="FFCC99FF"/>
      <rgbColor rgb="FFF4B183"/>
      <rgbColor rgb="FF3366FF"/>
      <rgbColor rgb="FF33CCCC"/>
      <rgbColor rgb="FF8ED973"/>
      <rgbColor rgb="FFFFCC00"/>
      <rgbColor rgb="FFFF9900"/>
      <rgbColor rgb="FFE87331"/>
      <rgbColor rgb="FF666699"/>
      <rgbColor rgb="FFA6A6A6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859375" defaultRowHeight="15" zeroHeight="false" outlineLevelRow="0" outlineLevelCol="0"/>
  <cols>
    <col collapsed="false" customWidth="true" hidden="false" outlineLevel="0" max="1" min="1" style="0" width="22.85"/>
    <col collapsed="false" customWidth="true" hidden="false" outlineLevel="0" max="2" min="2" style="0" width="38.7"/>
  </cols>
  <sheetData>
    <row r="1" customFormat="false" ht="15" hidden="false" customHeight="false" outlineLevel="0" collapsed="false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" hidden="false" customHeight="false" outlineLevel="0" collapsed="false">
      <c r="A2" s="4" t="s">
        <v>2</v>
      </c>
      <c r="B2" s="5" t="n">
        <v>45355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customFormat="false" ht="13.5" hidden="false" customHeight="false" outlineLevel="0" collapsed="false">
      <c r="A3" s="4" t="s">
        <v>3</v>
      </c>
      <c r="B3" s="8" t="s">
        <v>4</v>
      </c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customFormat="false" ht="15" hidden="false" customHeight="false" outlineLevel="0" collapsed="false">
      <c r="A4" s="4" t="s">
        <v>5</v>
      </c>
      <c r="B4" s="8" t="n">
        <v>25</v>
      </c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customFormat="false" ht="15" hidden="false" customHeight="false" outlineLevel="0" collapsed="false">
      <c r="A5" s="4" t="s">
        <v>6</v>
      </c>
      <c r="B5" s="9" t="n">
        <v>2000</v>
      </c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customFormat="false" ht="13.5" hidden="false" customHeight="false" outlineLevel="0" collapsed="false">
      <c r="A6" s="10" t="s">
        <v>7</v>
      </c>
      <c r="B6" s="8" t="n">
        <v>6</v>
      </c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customFormat="false" ht="15" hidden="false" customHeight="false" outlineLevel="0" collapsed="false">
      <c r="A7" s="10" t="s">
        <v>8</v>
      </c>
      <c r="B7" s="8" t="s">
        <v>9</v>
      </c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customFormat="false" ht="15" hidden="false" customHeight="false" outlineLevel="0" collapsed="false">
      <c r="A8" s="10" t="s">
        <v>10</v>
      </c>
      <c r="B8" s="8" t="n">
        <v>15</v>
      </c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customFormat="false" ht="15" hidden="false" customHeight="false" outlineLevel="0" collapsed="false">
      <c r="A9" s="10" t="s">
        <v>11</v>
      </c>
      <c r="B9" s="11" t="s">
        <v>12</v>
      </c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customFormat="false" ht="15" hidden="false" customHeight="false" outlineLevel="0" collapsed="false">
      <c r="A10" s="4" t="s">
        <v>13</v>
      </c>
      <c r="B10" s="8" t="s">
        <v>14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customFormat="false" ht="15" hidden="false" customHeight="false" outlineLevel="0" collapsed="false"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customFormat="false" ht="15" hidden="false" customHeight="false" outlineLevel="0" collapsed="false">
      <c r="A12" s="12" t="s">
        <v>15</v>
      </c>
      <c r="B12" s="13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customFormat="false" ht="54.75" hidden="false" customHeight="true" outlineLevel="0" collapsed="false">
      <c r="A13" s="14"/>
      <c r="B13" s="14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customFormat="false" ht="19.5" hidden="false" customHeight="true" outlineLevel="0" collapsed="false">
      <c r="A14" s="15"/>
      <c r="B14" s="15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customFormat="false" ht="15" hidden="false" customHeight="false" outlineLevel="0" collapsed="false"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customFormat="false" ht="15" hidden="false" customHeight="false" outlineLevel="0" collapsed="false"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customFormat="false" ht="15" hidden="false" customHeight="false" outlineLevel="0" collapsed="false"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customFormat="false" ht="15" hidden="false" customHeight="false" outlineLevel="0" collapsed="false"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</sheetData>
  <mergeCells count="2">
    <mergeCell ref="D1:AB1"/>
    <mergeCell ref="A13:B13"/>
  </mergeCells>
  <dataValidations count="9">
    <dataValidation allowBlank="true" operator="between" showDropDown="false" showErrorMessage="true" showInputMessage="true" sqref="F11" type="list">
      <formula1>"Clariostar 1,Clariostar 2,Clariostar 3,Clariostar 4,Clariostar 5"</formula1>
      <formula2>0</formula2>
    </dataValidation>
    <dataValidation allowBlank="true" operator="between" showDropDown="false" showErrorMessage="true" showInputMessage="true" sqref="B4" type="whole">
      <formula1>10</formula1>
      <formula2>50</formula2>
    </dataValidation>
    <dataValidation allowBlank="true" operator="between" showDropDown="false" showErrorMessage="true" showInputMessage="true" sqref="B5" type="whole">
      <formula1>1000</formula1>
      <formula2>3000</formula2>
    </dataValidation>
    <dataValidation allowBlank="true" operator="between" showDropDown="false" showErrorMessage="true" showInputMessage="true" sqref="B10" type="list">
      <formula1>"Alex (AWJ),Jasmine (JB),Maria (MO),Ennio (EL),Cheryl (CA),Tarin (TT),Esther (EM),Hyeyun (HJ)"</formula1>
      <formula2>0</formula2>
    </dataValidation>
    <dataValidation allowBlank="true" operator="between" showDropDown="false" showErrorMessage="true" showInputMessage="true" sqref="B7" type="list">
      <formula1>"Greiner 348 hibase (784900),Greiner 96 (655900)"</formula1>
      <formula2>0</formula2>
    </dataValidation>
    <dataValidation allowBlank="true" operator="between" showDropDown="false" showErrorMessage="true" showInputMessage="true" sqref="B8" type="whole">
      <formula1>3</formula1>
      <formula2>100</formula2>
    </dataValidation>
    <dataValidation allowBlank="true" operator="between" showDropDown="false" showErrorMessage="true" showInputMessage="true" sqref="B9" type="list">
      <formula1>"Alex (AWJ),Jasmine (JEB),Maria (MO),Ennio (EL),Cheryl (CA),Tarin (TT),Esther (EM),Hyeyun (HJ)"</formula1>
      <formula2>0</formula2>
    </dataValidation>
    <dataValidation allowBlank="true" operator="between" showDropDown="false" showErrorMessage="true" showInputMessage="true" sqref="B3" type="list">
      <formula1>"Clariostar 1,Clariostar 2,Clariostar 3,Clariostar 4,Clariostar 5,Unkonwn"</formula1>
      <formula2>0</formula2>
    </dataValidation>
    <dataValidation allowBlank="true" operator="between" showDropDown="false" showErrorMessage="true" showInputMessage="true" sqref="B6" type="whole">
      <formula1>5</formula1>
      <formula2>15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859375" defaultRowHeight="15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17.85"/>
    <col collapsed="false" customWidth="true" hidden="false" outlineLevel="0" max="3" min="3" style="0" width="28.3"/>
    <col collapsed="false" customWidth="true" hidden="false" outlineLevel="0" max="4" min="4" style="0" width="11"/>
    <col collapsed="false" customWidth="true" hidden="false" outlineLevel="0" max="7" min="7" style="0" width="10.43"/>
    <col collapsed="false" customWidth="true" hidden="false" outlineLevel="0" max="8" min="8" style="0" width="22.71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2" min="12" style="0" width="18.28"/>
    <col collapsed="false" customWidth="true" hidden="false" outlineLevel="0" max="13" min="13" style="0" width="15"/>
    <col collapsed="false" customWidth="true" hidden="false" outlineLevel="0" max="17" min="17" style="0" width="16.57"/>
  </cols>
  <sheetData>
    <row r="1" customFormat="false" ht="15" hidden="false" customHeight="false" outlineLevel="0" collapsed="false">
      <c r="A1" s="16" t="s">
        <v>16</v>
      </c>
      <c r="B1" s="17" t="s">
        <v>17</v>
      </c>
      <c r="C1" s="17" t="s">
        <v>18</v>
      </c>
      <c r="D1" s="17" t="s">
        <v>19</v>
      </c>
      <c r="E1" s="18"/>
      <c r="F1" s="18"/>
      <c r="G1" s="18"/>
      <c r="H1" s="17" t="s">
        <v>20</v>
      </c>
      <c r="I1" s="17" t="s">
        <v>21</v>
      </c>
      <c r="J1" s="17" t="s">
        <v>22</v>
      </c>
      <c r="L1" s="19" t="s">
        <v>23</v>
      </c>
      <c r="M1" s="19"/>
      <c r="N1" s="19"/>
      <c r="O1" s="19"/>
      <c r="Q1" s="20" t="s">
        <v>24</v>
      </c>
      <c r="R1" s="20"/>
    </row>
    <row r="3" customFormat="false" ht="15" hidden="false" customHeight="false" outlineLevel="0" collapsed="false">
      <c r="L3" s="0" t="s">
        <v>25</v>
      </c>
      <c r="Q3" s="0" t="s">
        <v>26</v>
      </c>
    </row>
    <row r="4" customFormat="false" ht="15" hidden="false" customHeight="false" outlineLevel="0" collapsed="false">
      <c r="A4" s="21" t="s">
        <v>27</v>
      </c>
      <c r="B4" s="21"/>
      <c r="C4" s="21"/>
      <c r="D4" s="21" t="s">
        <v>28</v>
      </c>
      <c r="E4" s="21" t="s">
        <v>29</v>
      </c>
      <c r="F4" s="21" t="s">
        <v>30</v>
      </c>
      <c r="G4" s="21" t="s">
        <v>31</v>
      </c>
      <c r="H4" s="21" t="s">
        <v>32</v>
      </c>
      <c r="I4" s="21" t="s">
        <v>32</v>
      </c>
      <c r="J4" s="0" t="s">
        <v>33</v>
      </c>
      <c r="M4" s="0" t="s">
        <v>34</v>
      </c>
      <c r="N4" s="21" t="n">
        <v>1000000</v>
      </c>
      <c r="Q4" s="0" t="s">
        <v>35</v>
      </c>
    </row>
    <row r="5" customFormat="false" ht="15" hidden="false" customHeight="false" outlineLevel="0" collapsed="false">
      <c r="A5" s="21"/>
      <c r="B5" s="21" t="s">
        <v>36</v>
      </c>
      <c r="C5" s="21" t="s">
        <v>37</v>
      </c>
      <c r="D5" s="21" t="n">
        <v>1.5</v>
      </c>
      <c r="E5" s="21" t="n">
        <v>500</v>
      </c>
      <c r="F5" s="21" t="n">
        <v>98.7</v>
      </c>
      <c r="G5" s="22" t="n">
        <f aca="false">(D5*E5)/F5</f>
        <v>7.59878419452888</v>
      </c>
      <c r="H5" s="21"/>
      <c r="I5" s="21"/>
      <c r="M5" s="0" t="s">
        <v>38</v>
      </c>
      <c r="N5" s="21" t="n">
        <v>20000</v>
      </c>
      <c r="Q5" s="0" t="s">
        <v>39</v>
      </c>
    </row>
    <row r="6" customFormat="false" ht="15" hidden="false" customHeight="false" outlineLevel="0" collapsed="false">
      <c r="A6" s="21"/>
      <c r="B6" s="21" t="s">
        <v>40</v>
      </c>
      <c r="C6" s="21" t="s">
        <v>41</v>
      </c>
      <c r="D6" s="21" t="n">
        <v>1</v>
      </c>
      <c r="E6" s="21" t="n">
        <v>500</v>
      </c>
      <c r="F6" s="21" t="n">
        <v>92</v>
      </c>
      <c r="G6" s="22" t="n">
        <f aca="false">(D6*E6)/F6</f>
        <v>5.43478260869565</v>
      </c>
      <c r="H6" s="21"/>
      <c r="I6" s="21"/>
      <c r="M6" s="0" t="s">
        <v>42</v>
      </c>
      <c r="N6" s="21" t="n">
        <v>1000</v>
      </c>
      <c r="Q6" s="0" t="s">
        <v>43</v>
      </c>
    </row>
    <row r="7" customFormat="false" ht="15" hidden="false" customHeight="false" outlineLevel="0" collapsed="false">
      <c r="D7" s="21"/>
      <c r="E7" s="21"/>
      <c r="F7" s="21" t="s">
        <v>44</v>
      </c>
      <c r="G7" s="22" t="n">
        <f aca="false">E6-G6-G5</f>
        <v>486.966433196776</v>
      </c>
      <c r="H7" s="21"/>
      <c r="I7" s="21"/>
      <c r="Q7" s="0" t="s">
        <v>45</v>
      </c>
    </row>
    <row r="8" customFormat="false" ht="13.8" hidden="false" customHeight="false" outlineLevel="0" collapsed="false">
      <c r="A8" s="21"/>
      <c r="B8" s="21"/>
      <c r="C8" s="21"/>
      <c r="D8" s="21"/>
      <c r="E8" s="21"/>
      <c r="F8" s="21"/>
      <c r="G8" s="21"/>
      <c r="H8" s="21"/>
      <c r="I8" s="21"/>
      <c r="Q8" s="0" t="s">
        <v>46</v>
      </c>
    </row>
    <row r="9" customFormat="false" ht="13.8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N9" s="21"/>
      <c r="Q9" s="0" t="s">
        <v>47</v>
      </c>
    </row>
    <row r="10" customFormat="false" ht="13.8" hidden="false" customHeight="false" outlineLevel="0" collapsed="false">
      <c r="A10" s="21" t="s">
        <v>48</v>
      </c>
      <c r="B10" s="21"/>
      <c r="C10" s="21"/>
      <c r="D10" s="21" t="s">
        <v>28</v>
      </c>
      <c r="E10" s="21" t="s">
        <v>29</v>
      </c>
      <c r="F10" s="21" t="s">
        <v>30</v>
      </c>
      <c r="G10" s="21" t="s">
        <v>31</v>
      </c>
      <c r="H10" s="21" t="s">
        <v>32</v>
      </c>
      <c r="I10" s="21" t="s">
        <v>32</v>
      </c>
      <c r="N10" s="21"/>
      <c r="Q10" s="0" t="s">
        <v>49</v>
      </c>
    </row>
    <row r="11" customFormat="false" ht="13.8" hidden="false" customHeight="false" outlineLevel="0" collapsed="false">
      <c r="A11" s="21"/>
      <c r="B11" s="21" t="s">
        <v>36</v>
      </c>
      <c r="C11" s="21" t="s">
        <v>37</v>
      </c>
      <c r="D11" s="21" t="n">
        <v>1.5</v>
      </c>
      <c r="E11" s="21" t="n">
        <v>500</v>
      </c>
      <c r="F11" s="21" t="n">
        <v>98.7</v>
      </c>
      <c r="G11" s="22" t="n">
        <f aca="false">(D11*E11)/F11</f>
        <v>7.59878419452888</v>
      </c>
      <c r="J11" s="21"/>
      <c r="N11" s="21"/>
      <c r="Q11" s="0" t="s">
        <v>50</v>
      </c>
    </row>
    <row r="12" customFormat="false" ht="13.8" hidden="false" customHeight="false" outlineLevel="0" collapsed="false">
      <c r="A12" s="21"/>
      <c r="B12" s="21" t="s">
        <v>40</v>
      </c>
      <c r="C12" s="21" t="s">
        <v>41</v>
      </c>
      <c r="D12" s="21" t="n">
        <v>1</v>
      </c>
      <c r="E12" s="21" t="n">
        <v>500</v>
      </c>
      <c r="F12" s="21" t="n">
        <v>92</v>
      </c>
      <c r="G12" s="22" t="n">
        <f aca="false">(D12*E12)/F12</f>
        <v>5.43478260869565</v>
      </c>
      <c r="H12" s="21"/>
      <c r="I12" s="21"/>
      <c r="Q12" s="0" t="s">
        <v>51</v>
      </c>
    </row>
    <row r="13" customFormat="false" ht="13.8" hidden="false" customHeight="false" outlineLevel="0" collapsed="false">
      <c r="D13" s="21"/>
      <c r="E13" s="21"/>
      <c r="F13" s="21" t="s">
        <v>44</v>
      </c>
      <c r="G13" s="22" t="n">
        <f aca="false">E12-G12-G11</f>
        <v>486.966433196776</v>
      </c>
      <c r="H13" s="21"/>
      <c r="I13" s="21"/>
      <c r="N13" s="21"/>
      <c r="Q13" s="0" t="s">
        <v>52</v>
      </c>
    </row>
    <row r="14" customFormat="false" ht="13.8" hidden="false" customHeight="false" outlineLevel="0" collapsed="false">
      <c r="H14" s="21"/>
      <c r="I14" s="21"/>
      <c r="N14" s="21"/>
    </row>
    <row r="15" customFormat="false" ht="13.8" hidden="false" customHeight="false" outlineLevel="0" collapsed="false">
      <c r="H15" s="21"/>
      <c r="I15" s="21"/>
      <c r="Q15" s="0" t="s">
        <v>53</v>
      </c>
    </row>
    <row r="16" customFormat="false" ht="13.8" hidden="false" customHeight="false" outlineLevel="0" collapsed="false">
      <c r="H16" s="21"/>
      <c r="I16" s="21"/>
      <c r="Q16" s="0" t="s">
        <v>54</v>
      </c>
    </row>
    <row r="17" customFormat="false" ht="13.8" hidden="false" customHeight="false" outlineLevel="0" collapsed="false">
      <c r="A17" s="21" t="s">
        <v>55</v>
      </c>
      <c r="B17" s="21"/>
      <c r="C17" s="21"/>
      <c r="D17" s="21" t="s">
        <v>28</v>
      </c>
      <c r="E17" s="21" t="s">
        <v>29</v>
      </c>
      <c r="F17" s="21" t="s">
        <v>30</v>
      </c>
      <c r="G17" s="21" t="s">
        <v>31</v>
      </c>
      <c r="H17" s="21"/>
      <c r="I17" s="21"/>
    </row>
    <row r="18" customFormat="false" ht="13.8" hidden="false" customHeight="false" outlineLevel="0" collapsed="false">
      <c r="B18" s="21" t="s">
        <v>55</v>
      </c>
      <c r="C18" s="21" t="s">
        <v>56</v>
      </c>
      <c r="D18" s="21" t="n">
        <v>1.5</v>
      </c>
      <c r="E18" s="21" t="n">
        <v>500</v>
      </c>
      <c r="F18" s="21" t="n">
        <v>103</v>
      </c>
      <c r="G18" s="22" t="n">
        <f aca="false">(D18*E18)/F18</f>
        <v>7.28155339805825</v>
      </c>
    </row>
    <row r="19" customFormat="false" ht="13.8" hidden="false" customHeight="false" outlineLevel="0" collapsed="false">
      <c r="D19" s="21"/>
      <c r="E19" s="21"/>
      <c r="F19" s="21" t="s">
        <v>44</v>
      </c>
      <c r="G19" s="22" t="n">
        <v>484</v>
      </c>
    </row>
    <row r="20" customFormat="false" ht="13.8" hidden="false" customHeight="false" outlineLevel="0" collapsed="false"/>
    <row r="21" customFormat="false" ht="13.8" hidden="false" customHeight="false" outlineLevel="0" collapsed="false">
      <c r="A21" s="21"/>
      <c r="B21" s="21"/>
      <c r="C21" s="21"/>
      <c r="D21" s="21"/>
      <c r="E21" s="21"/>
      <c r="F21" s="21"/>
      <c r="G21" s="21"/>
    </row>
    <row r="22" customFormat="false" ht="13.8" hidden="false" customHeight="false" outlineLevel="0" collapsed="false">
      <c r="A22" s="21" t="s">
        <v>57</v>
      </c>
      <c r="B22" s="21"/>
      <c r="C22" s="21"/>
      <c r="D22" s="21" t="s">
        <v>28</v>
      </c>
      <c r="E22" s="21" t="s">
        <v>29</v>
      </c>
      <c r="F22" s="21" t="s">
        <v>30</v>
      </c>
      <c r="G22" s="21" t="s">
        <v>31</v>
      </c>
      <c r="H22" s="21"/>
      <c r="I22" s="21"/>
    </row>
    <row r="23" customFormat="false" ht="13.8" hidden="false" customHeight="false" outlineLevel="0" collapsed="false">
      <c r="A23" s="21"/>
      <c r="B23" s="21" t="s">
        <v>57</v>
      </c>
      <c r="C23" s="21" t="s">
        <v>58</v>
      </c>
      <c r="D23" s="21" t="n">
        <v>1</v>
      </c>
      <c r="E23" s="21" t="n">
        <v>500</v>
      </c>
      <c r="F23" s="21" t="n">
        <v>106</v>
      </c>
      <c r="G23" s="22" t="n">
        <f aca="false">(D23*E23)/F23</f>
        <v>4.71698113207547</v>
      </c>
    </row>
    <row r="24" customFormat="false" ht="13.8" hidden="false" customHeight="false" outlineLevel="0" collapsed="false">
      <c r="D24" s="21"/>
      <c r="E24" s="21"/>
      <c r="F24" s="21" t="s">
        <v>44</v>
      </c>
      <c r="G24" s="22" t="n">
        <v>484</v>
      </c>
    </row>
  </sheetData>
  <dataValidations count="1">
    <dataValidation allowBlank="true" operator="between" showDropDown="false" showErrorMessage="true" showInputMessage="true" sqref="Q2:Q1016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2" activeCellId="0" sqref="D12"/>
    </sheetView>
  </sheetViews>
  <sheetFormatPr defaultColWidth="8.5859375" defaultRowHeight="13.8" zeroHeight="false" outlineLevelRow="0" outlineLevelCol="0"/>
  <cols>
    <col collapsed="false" customWidth="true" hidden="false" outlineLevel="0" max="2" min="1" style="0" width="11.28"/>
    <col collapsed="false" customWidth="true" hidden="false" outlineLevel="0" max="5" min="3" style="0" width="13.43"/>
    <col collapsed="false" customWidth="true" hidden="false" outlineLevel="0" max="6" min="6" style="0" width="14.14"/>
    <col collapsed="false" customWidth="true" hidden="false" outlineLevel="0" max="7" min="7" style="0" width="18.28"/>
    <col collapsed="false" customWidth="true" hidden="false" outlineLevel="0" max="8" min="8" style="0" width="16.57"/>
    <col collapsed="false" customWidth="true" hidden="false" outlineLevel="0" max="9" min="9" style="0" width="13.85"/>
    <col collapsed="false" customWidth="true" hidden="false" outlineLevel="0" max="10" min="10" style="0" width="15.85"/>
    <col collapsed="false" customWidth="true" hidden="false" outlineLevel="0" max="11" min="11" style="0" width="11.28"/>
    <col collapsed="false" customWidth="true" hidden="false" outlineLevel="0" max="12" min="12" style="0" width="18.71"/>
    <col collapsed="false" customWidth="true" hidden="false" outlineLevel="0" max="13" min="13" style="0" width="11.85"/>
    <col collapsed="false" customWidth="true" hidden="false" outlineLevel="0" max="14" min="14" style="0" width="14"/>
    <col collapsed="false" customWidth="true" hidden="false" outlineLevel="0" max="15" min="15" style="23" width="11.24"/>
    <col collapsed="false" customWidth="true" hidden="false" outlineLevel="0" max="16" min="16" style="23" width="17.74"/>
  </cols>
  <sheetData>
    <row r="1" customFormat="false" ht="13.8" hidden="false" customHeight="false" outlineLevel="0" collapsed="false">
      <c r="A1" s="24" t="s">
        <v>59</v>
      </c>
      <c r="B1" s="25" t="s">
        <v>60</v>
      </c>
      <c r="C1" s="25" t="s">
        <v>61</v>
      </c>
      <c r="D1" s="25" t="s">
        <v>62</v>
      </c>
      <c r="E1" s="25" t="s">
        <v>24</v>
      </c>
      <c r="F1" s="25" t="s">
        <v>63</v>
      </c>
      <c r="G1" s="25" t="s">
        <v>23</v>
      </c>
      <c r="H1" s="25" t="s">
        <v>64</v>
      </c>
      <c r="I1" s="25" t="s">
        <v>57</v>
      </c>
      <c r="J1" s="25" t="s">
        <v>65</v>
      </c>
      <c r="K1" s="25" t="s">
        <v>66</v>
      </c>
      <c r="L1" s="25" t="s">
        <v>67</v>
      </c>
      <c r="M1" s="25" t="s">
        <v>55</v>
      </c>
      <c r="N1" s="25" t="s">
        <v>68</v>
      </c>
      <c r="O1" s="25" t="s">
        <v>69</v>
      </c>
      <c r="P1" s="25" t="s">
        <v>70</v>
      </c>
    </row>
    <row r="2" customFormat="false" ht="13.8" hidden="false" customHeight="false" outlineLevel="0" collapsed="false">
      <c r="A2" s="26" t="s">
        <v>71</v>
      </c>
      <c r="B2" s="0" t="s">
        <v>72</v>
      </c>
      <c r="C2" s="0" t="s">
        <v>73</v>
      </c>
      <c r="D2" s="0" t="s">
        <v>74</v>
      </c>
      <c r="E2" s="21" t="s">
        <v>26</v>
      </c>
      <c r="F2" s="21" t="n">
        <v>0</v>
      </c>
      <c r="G2" s="21" t="s">
        <v>25</v>
      </c>
      <c r="H2" s="21" t="n">
        <f aca="false">100-F2</f>
        <v>100</v>
      </c>
      <c r="I2" s="21" t="s">
        <v>57</v>
      </c>
      <c r="J2" s="21" t="n">
        <v>0</v>
      </c>
      <c r="K2" s="21" t="s">
        <v>27</v>
      </c>
      <c r="L2" s="21" t="n">
        <v>10</v>
      </c>
      <c r="M2" s="21" t="s">
        <v>55</v>
      </c>
      <c r="N2" s="21" t="n">
        <v>15</v>
      </c>
      <c r="O2" s="23" t="s">
        <v>69</v>
      </c>
      <c r="P2" s="23" t="n">
        <v>0</v>
      </c>
    </row>
    <row r="3" customFormat="false" ht="13.8" hidden="false" customHeight="false" outlineLevel="0" collapsed="false">
      <c r="A3" s="26"/>
      <c r="B3" s="0" t="s">
        <v>75</v>
      </c>
      <c r="C3" s="0" t="s">
        <v>73</v>
      </c>
      <c r="D3" s="0" t="s">
        <v>74</v>
      </c>
      <c r="E3" s="21" t="s">
        <v>26</v>
      </c>
      <c r="F3" s="21" t="n">
        <v>0</v>
      </c>
      <c r="G3" s="21" t="s">
        <v>25</v>
      </c>
      <c r="H3" s="21" t="n">
        <f aca="false">100-F3</f>
        <v>100</v>
      </c>
      <c r="I3" s="21" t="s">
        <v>57</v>
      </c>
      <c r="J3" s="21" t="n">
        <v>0</v>
      </c>
      <c r="K3" s="21" t="s">
        <v>27</v>
      </c>
      <c r="L3" s="21" t="n">
        <v>10</v>
      </c>
      <c r="M3" s="21" t="s">
        <v>55</v>
      </c>
      <c r="N3" s="21" t="n">
        <v>15</v>
      </c>
      <c r="O3" s="23" t="s">
        <v>69</v>
      </c>
      <c r="P3" s="23" t="n">
        <v>0</v>
      </c>
    </row>
    <row r="4" customFormat="false" ht="13.8" hidden="false" customHeight="false" outlineLevel="0" collapsed="false">
      <c r="A4" s="26"/>
      <c r="B4" s="0" t="s">
        <v>76</v>
      </c>
      <c r="C4" s="0" t="s">
        <v>73</v>
      </c>
      <c r="D4" s="0" t="s">
        <v>74</v>
      </c>
      <c r="E4" s="21" t="s">
        <v>26</v>
      </c>
      <c r="F4" s="21" t="n">
        <v>0</v>
      </c>
      <c r="G4" s="21" t="s">
        <v>25</v>
      </c>
      <c r="H4" s="21" t="n">
        <f aca="false">100-F4</f>
        <v>100</v>
      </c>
      <c r="I4" s="21" t="s">
        <v>57</v>
      </c>
      <c r="J4" s="21" t="n">
        <v>0</v>
      </c>
      <c r="K4" s="21" t="s">
        <v>27</v>
      </c>
      <c r="L4" s="21" t="n">
        <v>10</v>
      </c>
      <c r="M4" s="21" t="s">
        <v>55</v>
      </c>
      <c r="N4" s="21" t="n">
        <v>15</v>
      </c>
      <c r="O4" s="23" t="s">
        <v>69</v>
      </c>
      <c r="P4" s="23" t="n">
        <v>0</v>
      </c>
    </row>
    <row r="5" customFormat="false" ht="13.8" hidden="false" customHeight="false" outlineLevel="0" collapsed="false">
      <c r="A5" s="26"/>
      <c r="B5" s="0" t="s">
        <v>77</v>
      </c>
      <c r="C5" s="0" t="s">
        <v>73</v>
      </c>
      <c r="D5" s="0" t="s">
        <v>74</v>
      </c>
      <c r="E5" s="21" t="s">
        <v>26</v>
      </c>
      <c r="F5" s="21" t="n">
        <v>0</v>
      </c>
      <c r="G5" s="21" t="s">
        <v>25</v>
      </c>
      <c r="H5" s="21" t="n">
        <f aca="false">100-F5</f>
        <v>100</v>
      </c>
      <c r="I5" s="21" t="s">
        <v>57</v>
      </c>
      <c r="J5" s="21" t="n">
        <v>5</v>
      </c>
      <c r="K5" s="21" t="s">
        <v>27</v>
      </c>
      <c r="L5" s="21" t="n">
        <v>10</v>
      </c>
      <c r="M5" s="21" t="s">
        <v>55</v>
      </c>
      <c r="N5" s="21" t="n">
        <v>15</v>
      </c>
      <c r="O5" s="23" t="s">
        <v>69</v>
      </c>
      <c r="P5" s="23" t="n">
        <v>0</v>
      </c>
    </row>
    <row r="6" customFormat="false" ht="13.8" hidden="false" customHeight="false" outlineLevel="0" collapsed="false">
      <c r="A6" s="26"/>
      <c r="B6" s="0" t="s">
        <v>78</v>
      </c>
      <c r="C6" s="0" t="s">
        <v>73</v>
      </c>
      <c r="D6" s="0" t="s">
        <v>74</v>
      </c>
      <c r="E6" s="21" t="s">
        <v>26</v>
      </c>
      <c r="F6" s="21" t="n">
        <v>0</v>
      </c>
      <c r="G6" s="21" t="s">
        <v>25</v>
      </c>
      <c r="H6" s="21" t="s">
        <v>79</v>
      </c>
      <c r="I6" s="21" t="s">
        <v>57</v>
      </c>
      <c r="J6" s="21" t="n">
        <v>10</v>
      </c>
      <c r="K6" s="21" t="s">
        <v>48</v>
      </c>
      <c r="L6" s="21" t="n">
        <v>10</v>
      </c>
      <c r="M6" s="21" t="s">
        <v>55</v>
      </c>
      <c r="N6" s="21" t="n">
        <v>15</v>
      </c>
      <c r="O6" s="23" t="s">
        <v>69</v>
      </c>
      <c r="P6" s="23" t="n">
        <v>0</v>
      </c>
    </row>
    <row r="7" customFormat="false" ht="13.8" hidden="false" customHeight="false" outlineLevel="0" collapsed="false">
      <c r="A7" s="26"/>
      <c r="B7" s="0" t="s">
        <v>80</v>
      </c>
      <c r="C7" s="0" t="s">
        <v>73</v>
      </c>
      <c r="D7" s="0" t="s">
        <v>74</v>
      </c>
      <c r="E7" s="21" t="s">
        <v>26</v>
      </c>
      <c r="F7" s="21" t="n">
        <v>0</v>
      </c>
      <c r="G7" s="21" t="s">
        <v>25</v>
      </c>
      <c r="H7" s="21" t="s">
        <v>79</v>
      </c>
      <c r="I7" s="21" t="s">
        <v>57</v>
      </c>
      <c r="J7" s="21" t="n">
        <v>50</v>
      </c>
      <c r="K7" s="21" t="s">
        <v>48</v>
      </c>
      <c r="L7" s="21" t="n">
        <v>10</v>
      </c>
      <c r="M7" s="21" t="s">
        <v>55</v>
      </c>
      <c r="N7" s="21" t="n">
        <v>15</v>
      </c>
      <c r="O7" s="23" t="s">
        <v>69</v>
      </c>
      <c r="P7" s="23" t="n">
        <v>0</v>
      </c>
    </row>
    <row r="8" customFormat="false" ht="13.8" hidden="false" customHeight="false" outlineLevel="0" collapsed="false">
      <c r="A8" s="26"/>
      <c r="B8" s="0" t="s">
        <v>81</v>
      </c>
      <c r="C8" s="0" t="s">
        <v>73</v>
      </c>
      <c r="D8" s="0" t="s">
        <v>74</v>
      </c>
      <c r="E8" s="21" t="s">
        <v>26</v>
      </c>
      <c r="F8" s="21" t="n">
        <v>0</v>
      </c>
      <c r="G8" s="21" t="s">
        <v>25</v>
      </c>
      <c r="H8" s="21" t="n">
        <f aca="false">100-F8</f>
        <v>100</v>
      </c>
      <c r="I8" s="21" t="s">
        <v>57</v>
      </c>
      <c r="J8" s="21" t="n">
        <v>100</v>
      </c>
      <c r="K8" s="21" t="s">
        <v>48</v>
      </c>
      <c r="L8" s="21" t="n">
        <v>10</v>
      </c>
      <c r="M8" s="21" t="s">
        <v>55</v>
      </c>
      <c r="N8" s="21" t="n">
        <v>15</v>
      </c>
      <c r="O8" s="23" t="s">
        <v>69</v>
      </c>
      <c r="P8" s="23" t="n">
        <v>0</v>
      </c>
    </row>
    <row r="9" customFormat="false" ht="13.8" hidden="false" customHeight="false" outlineLevel="0" collapsed="false">
      <c r="A9" s="26"/>
      <c r="B9" s="0" t="s">
        <v>82</v>
      </c>
      <c r="C9" s="0" t="s">
        <v>73</v>
      </c>
      <c r="D9" s="0" t="s">
        <v>74</v>
      </c>
      <c r="E9" s="21" t="s">
        <v>26</v>
      </c>
      <c r="F9" s="21" t="n">
        <v>0</v>
      </c>
      <c r="G9" s="21" t="s">
        <v>25</v>
      </c>
      <c r="H9" s="21" t="n">
        <f aca="false">100-F9</f>
        <v>100</v>
      </c>
      <c r="I9" s="21" t="s">
        <v>57</v>
      </c>
      <c r="J9" s="21" t="n">
        <v>500</v>
      </c>
      <c r="K9" s="21" t="s">
        <v>48</v>
      </c>
      <c r="L9" s="21" t="n">
        <v>10</v>
      </c>
      <c r="M9" s="21" t="s">
        <v>55</v>
      </c>
      <c r="N9" s="21" t="n">
        <v>15</v>
      </c>
      <c r="O9" s="23" t="s">
        <v>69</v>
      </c>
      <c r="P9" s="23" t="n">
        <v>0</v>
      </c>
    </row>
    <row r="10" customFormat="false" ht="13.8" hidden="false" customHeight="false" outlineLevel="0" collapsed="false">
      <c r="A10" s="26"/>
      <c r="B10" s="0" t="s">
        <v>83</v>
      </c>
      <c r="C10" s="0" t="s">
        <v>73</v>
      </c>
      <c r="D10" s="0" t="s">
        <v>74</v>
      </c>
      <c r="E10" s="21" t="s">
        <v>26</v>
      </c>
      <c r="F10" s="21" t="n">
        <v>0</v>
      </c>
      <c r="G10" s="21" t="s">
        <v>25</v>
      </c>
      <c r="H10" s="21" t="n">
        <f aca="false">100-F10</f>
        <v>100</v>
      </c>
      <c r="I10" s="21" t="s">
        <v>57</v>
      </c>
      <c r="J10" s="21" t="n">
        <v>1000</v>
      </c>
      <c r="K10" s="21" t="s">
        <v>48</v>
      </c>
      <c r="L10" s="21" t="n">
        <v>10</v>
      </c>
      <c r="M10" s="21" t="s">
        <v>55</v>
      </c>
      <c r="N10" s="21" t="n">
        <v>15</v>
      </c>
      <c r="O10" s="23" t="s">
        <v>69</v>
      </c>
      <c r="P10" s="23" t="n">
        <v>0</v>
      </c>
    </row>
    <row r="11" customFormat="false" ht="13.8" hidden="false" customHeight="false" outlineLevel="0" collapsed="false">
      <c r="A11" s="26" t="s">
        <v>61</v>
      </c>
      <c r="B11" s="0" t="s">
        <v>73</v>
      </c>
      <c r="E11" s="21" t="s">
        <v>26</v>
      </c>
      <c r="F11" s="21" t="n">
        <v>0</v>
      </c>
      <c r="G11" s="21" t="s">
        <v>25</v>
      </c>
      <c r="H11" s="21" t="n">
        <f aca="false">100-F11</f>
        <v>100</v>
      </c>
      <c r="I11" s="21" t="s">
        <v>57</v>
      </c>
      <c r="J11" s="21" t="n">
        <v>0</v>
      </c>
      <c r="K11" s="21" t="s">
        <v>27</v>
      </c>
      <c r="L11" s="21" t="n">
        <v>0</v>
      </c>
      <c r="M11" s="21" t="s">
        <v>55</v>
      </c>
      <c r="N11" s="21" t="n">
        <v>0</v>
      </c>
      <c r="O11" s="23" t="s">
        <v>69</v>
      </c>
      <c r="P11" s="23" t="n">
        <v>0</v>
      </c>
    </row>
    <row r="12" customFormat="false" ht="13.8" hidden="false" customHeight="false" outlineLevel="0" collapsed="false">
      <c r="A12" s="26"/>
      <c r="B12" s="0" t="s">
        <v>84</v>
      </c>
      <c r="E12" s="21" t="s">
        <v>26</v>
      </c>
      <c r="F12" s="21" t="n">
        <v>0</v>
      </c>
      <c r="G12" s="21" t="s">
        <v>25</v>
      </c>
      <c r="H12" s="21" t="n">
        <f aca="false">100-F12</f>
        <v>100</v>
      </c>
      <c r="I12" s="21" t="s">
        <v>57</v>
      </c>
      <c r="J12" s="21" t="n">
        <v>0</v>
      </c>
      <c r="K12" s="21" t="s">
        <v>27</v>
      </c>
      <c r="L12" s="21" t="n">
        <v>10</v>
      </c>
      <c r="M12" s="21" t="s">
        <v>55</v>
      </c>
      <c r="N12" s="21" t="n">
        <v>0</v>
      </c>
      <c r="O12" s="23" t="s">
        <v>69</v>
      </c>
      <c r="P12" s="23" t="n">
        <v>0</v>
      </c>
    </row>
    <row r="13" customFormat="false" ht="13.8" hidden="false" customHeight="false" outlineLevel="0" collapsed="false">
      <c r="A13" s="26" t="s">
        <v>85</v>
      </c>
      <c r="B13" s="0" t="s">
        <v>86</v>
      </c>
      <c r="C13" s="0" t="s">
        <v>73</v>
      </c>
      <c r="D13" s="0" t="s">
        <v>74</v>
      </c>
      <c r="E13" s="21" t="s">
        <v>26</v>
      </c>
      <c r="F13" s="21" t="n">
        <v>0</v>
      </c>
      <c r="G13" s="21" t="s">
        <v>25</v>
      </c>
      <c r="H13" s="21" t="n">
        <f aca="false">100-F13</f>
        <v>100</v>
      </c>
      <c r="I13" s="21" t="s">
        <v>57</v>
      </c>
      <c r="J13" s="21" t="n">
        <v>0</v>
      </c>
      <c r="K13" s="21" t="s">
        <v>27</v>
      </c>
      <c r="L13" s="21" t="n">
        <v>10</v>
      </c>
      <c r="M13" s="21" t="s">
        <v>55</v>
      </c>
      <c r="N13" s="21" t="n">
        <v>0</v>
      </c>
      <c r="O13" s="23" t="s">
        <v>69</v>
      </c>
      <c r="P13" s="23" t="n">
        <v>0</v>
      </c>
    </row>
    <row r="14" customFormat="false" ht="13.8" hidden="false" customHeight="false" outlineLevel="0" collapsed="false">
      <c r="A14" s="26"/>
      <c r="B14" s="0" t="s">
        <v>87</v>
      </c>
      <c r="C14" s="0" t="s">
        <v>73</v>
      </c>
      <c r="D14" s="0" t="s">
        <v>74</v>
      </c>
      <c r="E14" s="21" t="s">
        <v>26</v>
      </c>
      <c r="F14" s="21" t="n">
        <v>0</v>
      </c>
      <c r="G14" s="21" t="s">
        <v>25</v>
      </c>
      <c r="H14" s="21" t="n">
        <f aca="false">100-F14</f>
        <v>100</v>
      </c>
      <c r="I14" s="21" t="s">
        <v>57</v>
      </c>
      <c r="J14" s="21" t="n">
        <v>0</v>
      </c>
      <c r="K14" s="21" t="s">
        <v>27</v>
      </c>
      <c r="L14" s="21" t="n">
        <v>8</v>
      </c>
      <c r="M14" s="21" t="s">
        <v>55</v>
      </c>
      <c r="N14" s="21" t="n">
        <v>13</v>
      </c>
      <c r="O14" s="23" t="s">
        <v>69</v>
      </c>
      <c r="P14" s="23" t="n">
        <v>2</v>
      </c>
    </row>
    <row r="15" customFormat="false" ht="13.8" hidden="false" customHeight="false" outlineLevel="0" collapsed="false">
      <c r="A15" s="26"/>
      <c r="B15" s="0" t="s">
        <v>88</v>
      </c>
      <c r="C15" s="0" t="s">
        <v>73</v>
      </c>
      <c r="D15" s="0" t="s">
        <v>74</v>
      </c>
      <c r="E15" s="21" t="s">
        <v>26</v>
      </c>
      <c r="F15" s="21" t="n">
        <v>0</v>
      </c>
      <c r="G15" s="21" t="s">
        <v>25</v>
      </c>
      <c r="H15" s="21" t="n">
        <f aca="false">100-F15</f>
        <v>100</v>
      </c>
      <c r="I15" s="21" t="s">
        <v>57</v>
      </c>
      <c r="J15" s="21" t="n">
        <v>0</v>
      </c>
      <c r="K15" s="21" t="s">
        <v>27</v>
      </c>
      <c r="L15" s="21" t="n">
        <v>6</v>
      </c>
      <c r="M15" s="21" t="s">
        <v>55</v>
      </c>
      <c r="N15" s="21" t="n">
        <v>11</v>
      </c>
      <c r="O15" s="23" t="s">
        <v>69</v>
      </c>
      <c r="P15" s="23" t="n">
        <v>4</v>
      </c>
    </row>
    <row r="16" customFormat="false" ht="13.8" hidden="false" customHeight="false" outlineLevel="0" collapsed="false">
      <c r="A16" s="26"/>
      <c r="B16" s="0" t="s">
        <v>89</v>
      </c>
      <c r="C16" s="0" t="s">
        <v>73</v>
      </c>
      <c r="D16" s="0" t="s">
        <v>74</v>
      </c>
      <c r="E16" s="21" t="s">
        <v>26</v>
      </c>
      <c r="F16" s="21" t="n">
        <v>0</v>
      </c>
      <c r="G16" s="21" t="s">
        <v>25</v>
      </c>
      <c r="H16" s="21" t="n">
        <f aca="false">100-F16</f>
        <v>100</v>
      </c>
      <c r="I16" s="21" t="s">
        <v>57</v>
      </c>
      <c r="J16" s="21" t="n">
        <v>0</v>
      </c>
      <c r="K16" s="21" t="s">
        <v>27</v>
      </c>
      <c r="L16" s="21" t="n">
        <v>4</v>
      </c>
      <c r="M16" s="21" t="s">
        <v>55</v>
      </c>
      <c r="N16" s="21" t="n">
        <v>9</v>
      </c>
      <c r="O16" s="23" t="s">
        <v>69</v>
      </c>
      <c r="P16" s="23" t="n">
        <v>6</v>
      </c>
    </row>
    <row r="17" customFormat="false" ht="13.8" hidden="false" customHeight="false" outlineLevel="0" collapsed="false">
      <c r="A17" s="26"/>
      <c r="B17" s="0" t="s">
        <v>90</v>
      </c>
      <c r="C17" s="0" t="s">
        <v>73</v>
      </c>
      <c r="D17" s="0" t="s">
        <v>74</v>
      </c>
      <c r="E17" s="21" t="s">
        <v>26</v>
      </c>
      <c r="F17" s="21" t="n">
        <v>0</v>
      </c>
      <c r="G17" s="21" t="s">
        <v>25</v>
      </c>
      <c r="H17" s="21" t="n">
        <f aca="false">100-F17</f>
        <v>100</v>
      </c>
      <c r="I17" s="21" t="s">
        <v>57</v>
      </c>
      <c r="J17" s="21" t="n">
        <v>0</v>
      </c>
      <c r="K17" s="21" t="s">
        <v>27</v>
      </c>
      <c r="L17" s="21" t="n">
        <v>2</v>
      </c>
      <c r="M17" s="21" t="s">
        <v>55</v>
      </c>
      <c r="N17" s="21" t="n">
        <v>7</v>
      </c>
      <c r="O17" s="23" t="s">
        <v>69</v>
      </c>
      <c r="P17" s="23" t="n">
        <v>8</v>
      </c>
    </row>
    <row r="18" customFormat="false" ht="13.8" hidden="false" customHeight="false" outlineLevel="0" collapsed="false">
      <c r="A18" s="26" t="s">
        <v>62</v>
      </c>
      <c r="B18" s="0" t="s">
        <v>74</v>
      </c>
      <c r="E18" s="21" t="s">
        <v>26</v>
      </c>
      <c r="F18" s="21" t="n">
        <v>0</v>
      </c>
      <c r="G18" s="21" t="s">
        <v>25</v>
      </c>
      <c r="H18" s="21" t="n">
        <f aca="false">100-F18</f>
        <v>100</v>
      </c>
      <c r="I18" s="21" t="s">
        <v>57</v>
      </c>
      <c r="J18" s="21" t="n">
        <v>0</v>
      </c>
      <c r="K18" s="21" t="s">
        <v>27</v>
      </c>
      <c r="L18" s="21" t="n">
        <v>0</v>
      </c>
      <c r="M18" s="21" t="s">
        <v>55</v>
      </c>
      <c r="N18" s="21" t="n">
        <v>5</v>
      </c>
      <c r="O18" s="23" t="s">
        <v>69</v>
      </c>
      <c r="P18" s="23" t="n">
        <v>10</v>
      </c>
    </row>
    <row r="19" customFormat="false" ht="13.8" hidden="false" customHeight="false" outlineLevel="0" collapsed="false">
      <c r="A19" s="26"/>
      <c r="B19" s="0" t="s">
        <v>91</v>
      </c>
      <c r="E19" s="21" t="s">
        <v>26</v>
      </c>
      <c r="F19" s="21" t="n">
        <v>0</v>
      </c>
      <c r="G19" s="21" t="s">
        <v>25</v>
      </c>
      <c r="H19" s="21" t="n">
        <f aca="false">100-F19</f>
        <v>100</v>
      </c>
      <c r="I19" s="21" t="s">
        <v>57</v>
      </c>
      <c r="J19" s="21" t="n">
        <v>0</v>
      </c>
      <c r="K19" s="21" t="s">
        <v>27</v>
      </c>
      <c r="L19" s="21" t="n">
        <v>0</v>
      </c>
      <c r="M19" s="21" t="s">
        <v>55</v>
      </c>
      <c r="N19" s="21" t="n">
        <v>5</v>
      </c>
      <c r="O19" s="23" t="s">
        <v>69</v>
      </c>
      <c r="P19" s="23" t="n">
        <v>10</v>
      </c>
    </row>
    <row r="20" customFormat="false" ht="13.8" hidden="false" customHeight="false" outlineLevel="0" collapsed="false"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customFormat="false" ht="13.8" hidden="false" customHeight="false" outlineLevel="0" collapsed="false"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customFormat="false" ht="13.8" hidden="false" customHeight="false" outlineLevel="0" collapsed="false"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customFormat="false" ht="13.8" hidden="false" customHeight="false" outlineLevel="0" collapsed="false"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customFormat="false" ht="13.8" hidden="false" customHeight="false" outlineLevel="0" collapsed="false"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customFormat="false" ht="13.8" hidden="false" customHeight="false" outlineLevel="0" collapsed="false"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customFormat="false" ht="13.8" hidden="false" customHeight="false" outlineLevel="0" collapsed="false"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customFormat="false" ht="13.8" hidden="false" customHeight="false" outlineLevel="0" collapsed="false"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customFormat="false" ht="13.8" hidden="false" customHeight="false" outlineLevel="0" collapsed="false"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customFormat="false" ht="13.8" hidden="false" customHeight="false" outlineLevel="0" collapsed="false"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customFormat="false" ht="13.8" hidden="false" customHeight="false" outlineLevel="0" collapsed="false"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customFormat="false" ht="13.8" hidden="false" customHeight="false" outlineLevel="0" collapsed="false"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customFormat="false" ht="13.8" hidden="false" customHeight="false" outlineLevel="0" collapsed="false"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customFormat="false" ht="13.8" hidden="false" customHeight="false" outlineLevel="0" collapsed="false"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customFormat="false" ht="13.8" hidden="false" customHeight="false" outlineLevel="0" collapsed="false">
      <c r="K34" s="21"/>
      <c r="L34" s="21"/>
    </row>
    <row r="35" customFormat="false" ht="13.8" hidden="false" customHeight="false" outlineLevel="0" collapsed="false">
      <c r="K35" s="21"/>
      <c r="L35" s="21"/>
    </row>
    <row r="36" customFormat="false" ht="13.8" hidden="false" customHeight="false" outlineLevel="0" collapsed="false">
      <c r="K36" s="21"/>
      <c r="L36" s="21"/>
    </row>
    <row r="37" customFormat="false" ht="13.8" hidden="false" customHeight="false" outlineLevel="0" collapsed="false">
      <c r="K37" s="21"/>
      <c r="L37" s="21"/>
    </row>
  </sheetData>
  <mergeCells count="4">
    <mergeCell ref="A2:A10"/>
    <mergeCell ref="A11:A12"/>
    <mergeCell ref="A13:A17"/>
    <mergeCell ref="A18:A19"/>
  </mergeCells>
  <dataValidations count="5">
    <dataValidation allowBlank="true" operator="between" showDropDown="false" showErrorMessage="true" showInputMessage="true" sqref="K2:K1019" type="list">
      <formula1>stock_solutions!$A$3:$A$23</formula1>
      <formula2>0</formula2>
    </dataValidation>
    <dataValidation allowBlank="true" operator="between" showDropDown="false" showErrorMessage="true" showInputMessage="true" sqref="E2:E1019" type="list">
      <formula1>stock_solutions!$Q$3:$Q$400</formula1>
      <formula2>0</formula2>
    </dataValidation>
    <dataValidation allowBlank="true" operator="between" showDropDown="false" showErrorMessage="true" showInputMessage="true" sqref="M2:M1019" type="list">
      <formula1>stock_solutions!$A$3:$A$1048576</formula1>
      <formula2>0</formula2>
    </dataValidation>
    <dataValidation allowBlank="true" operator="between" showDropDown="false" showErrorMessage="true" showInputMessage="true" sqref="G2:G1019" type="list">
      <formula1>stock_solutions!$L$2:$L$1048576</formula1>
      <formula2>0</formula2>
    </dataValidation>
    <dataValidation allowBlank="true" operator="between" showDropDown="false" showErrorMessage="true" showInputMessage="true" sqref="I2:I168" type="list">
      <formula1>stock_solutions!$A$2:$A$166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2024-11-26T14:50:22Z</dcterms:created>
  <dc:creator/>
  <dc:description/>
  <dc:language>en-GB</dc:language>
  <cp:lastModifiedBy>Harold Fellermann</cp:lastModifiedBy>
  <dcterms:modified xsi:type="dcterms:W3CDTF">2025-03-28T09:13:27Z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